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StudentsSQL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J12" i="1"/>
  <c r="J3"/>
  <c r="J4"/>
  <c r="J5"/>
  <c r="J6"/>
  <c r="J7"/>
  <c r="J8"/>
  <c r="J9"/>
  <c r="J10"/>
  <c r="J11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2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</calcChain>
</file>

<file path=xl/sharedStrings.xml><?xml version="1.0" encoding="utf-8"?>
<sst xmlns="http://schemas.openxmlformats.org/spreadsheetml/2006/main" count="325" uniqueCount="211">
  <si>
    <t>Clasa</t>
  </si>
  <si>
    <t>Nume</t>
  </si>
  <si>
    <t>Prenume</t>
  </si>
  <si>
    <t>Sex</t>
  </si>
  <si>
    <t>Hasdeu</t>
  </si>
  <si>
    <t>Iacobescu</t>
  </si>
  <si>
    <t>Halmageanu</t>
  </si>
  <si>
    <t>Fernic</t>
  </si>
  <si>
    <t>Irimie</t>
  </si>
  <si>
    <t>Lazarescu</t>
  </si>
  <si>
    <t>Enescu</t>
  </si>
  <si>
    <t>Irimescu</t>
  </si>
  <si>
    <t>Lazureanu</t>
  </si>
  <si>
    <t>Lazareanu</t>
  </si>
  <si>
    <t>Danisor</t>
  </si>
  <si>
    <t>Iaru</t>
  </si>
  <si>
    <t>Danceanu</t>
  </si>
  <si>
    <t>Halippa</t>
  </si>
  <si>
    <t>Baconsky</t>
  </si>
  <si>
    <t>Eminescu</t>
  </si>
  <si>
    <t>Filipescu</t>
  </si>
  <si>
    <t>Cacoveanu</t>
  </si>
  <si>
    <t>Laurian</t>
  </si>
  <si>
    <t>Irimia</t>
  </si>
  <si>
    <t>Danescu</t>
  </si>
  <si>
    <t>Danciu</t>
  </si>
  <si>
    <t>Geiculescu</t>
  </si>
  <si>
    <t>Caianu</t>
  </si>
  <si>
    <t>Damaschin</t>
  </si>
  <si>
    <t>﻿Baciu</t>
  </si>
  <si>
    <t>LucanEne</t>
  </si>
  <si>
    <t>Baconschi</t>
  </si>
  <si>
    <t>Cadantu</t>
  </si>
  <si>
    <t>Lazu</t>
  </si>
  <si>
    <t>Gheorghe</t>
  </si>
  <si>
    <t>Georgescu</t>
  </si>
  <si>
    <t>Caileanu</t>
  </si>
  <si>
    <t>Filimon</t>
  </si>
  <si>
    <t>Danciulescu</t>
  </si>
  <si>
    <t>Gheorghelas</t>
  </si>
  <si>
    <t>Ierunca</t>
  </si>
  <si>
    <t>Baconski</t>
  </si>
  <si>
    <t>Lucaciu</t>
  </si>
  <si>
    <t>Geambasu</t>
  </si>
  <si>
    <t>Badarau</t>
  </si>
  <si>
    <t>Filotti</t>
  </si>
  <si>
    <t>Fieraru</t>
  </si>
  <si>
    <t>Enache</t>
  </si>
  <si>
    <t>Hanganu</t>
  </si>
  <si>
    <t>Hanu</t>
  </si>
  <si>
    <t>Caciulescu</t>
  </si>
  <si>
    <t>Epureanu</t>
  </si>
  <si>
    <t>Halep</t>
  </si>
  <si>
    <t>Isopescu</t>
  </si>
  <si>
    <t>Zamfir</t>
  </si>
  <si>
    <t>Adelina</t>
  </si>
  <si>
    <t>F</t>
  </si>
  <si>
    <t>Amedeia</t>
  </si>
  <si>
    <t>M</t>
  </si>
  <si>
    <t>Eusebiu</t>
  </si>
  <si>
    <t>Emil</t>
  </si>
  <si>
    <t>Amalia</t>
  </si>
  <si>
    <t>Catalin</t>
  </si>
  <si>
    <t>Agnes</t>
  </si>
  <si>
    <t>Ciprian</t>
  </si>
  <si>
    <t>Amelie</t>
  </si>
  <si>
    <t>Alexia</t>
  </si>
  <si>
    <t>Calin</t>
  </si>
  <si>
    <t>Ariona</t>
  </si>
  <si>
    <t>Doru</t>
  </si>
  <si>
    <t>Amita</t>
  </si>
  <si>
    <t>Dan</t>
  </si>
  <si>
    <t>Aglaia</t>
  </si>
  <si>
    <t>Alda</t>
  </si>
  <si>
    <t>Afrodita</t>
  </si>
  <si>
    <t>Constantin</t>
  </si>
  <si>
    <t>Cristinel</t>
  </si>
  <si>
    <t>Alexandra</t>
  </si>
  <si>
    <t>Amina</t>
  </si>
  <si>
    <t>Cosmin</t>
  </si>
  <si>
    <t>Cezar</t>
  </si>
  <si>
    <t>Costi</t>
  </si>
  <si>
    <t>Amira</t>
  </si>
  <si>
    <t>Claudiu</t>
  </si>
  <si>
    <t>Dorin</t>
  </si>
  <si>
    <t>Cristian</t>
  </si>
  <si>
    <t>Eduard</t>
  </si>
  <si>
    <t>Bodgan</t>
  </si>
  <si>
    <t>Afina</t>
  </si>
  <si>
    <t>Alla</t>
  </si>
  <si>
    <t>Barbu</t>
  </si>
  <si>
    <t>Agapia</t>
  </si>
  <si>
    <t>Alana</t>
  </si>
  <si>
    <t>Daniel</t>
  </si>
  <si>
    <t>Alice</t>
  </si>
  <si>
    <t>Cornel</t>
  </si>
  <si>
    <t>David</t>
  </si>
  <si>
    <t>Alma</t>
  </si>
  <si>
    <t>Eugen</t>
  </si>
  <si>
    <t>Dragos</t>
  </si>
  <si>
    <t>Costin</t>
  </si>
  <si>
    <t>﻿Adela</t>
  </si>
  <si>
    <t>Amanda</t>
  </si>
  <si>
    <t>Carol</t>
  </si>
  <si>
    <t>Dumitru</t>
  </si>
  <si>
    <t>Costel</t>
  </si>
  <si>
    <t>Amelia</t>
  </si>
  <si>
    <t>George</t>
  </si>
  <si>
    <t>5ME</t>
  </si>
  <si>
    <t>8CPX</t>
  </si>
  <si>
    <t>9PLM</t>
  </si>
  <si>
    <t>12FI</t>
  </si>
  <si>
    <t>AnNastere (2Digits)</t>
  </si>
  <si>
    <t>01</t>
  </si>
  <si>
    <t>05</t>
  </si>
  <si>
    <t>06</t>
  </si>
  <si>
    <t>91</t>
  </si>
  <si>
    <t>03</t>
  </si>
  <si>
    <t>99</t>
  </si>
  <si>
    <t>02</t>
  </si>
  <si>
    <t>45</t>
  </si>
  <si>
    <t>46</t>
  </si>
  <si>
    <t>10</t>
  </si>
  <si>
    <t>11</t>
  </si>
  <si>
    <t>12</t>
  </si>
  <si>
    <t>64</t>
  </si>
  <si>
    <t>98</t>
  </si>
  <si>
    <t>00</t>
  </si>
  <si>
    <t>66</t>
  </si>
  <si>
    <t>09</t>
  </si>
  <si>
    <t>07</t>
  </si>
  <si>
    <t>88</t>
  </si>
  <si>
    <t>14</t>
  </si>
  <si>
    <t>13</t>
  </si>
  <si>
    <t>28</t>
  </si>
  <si>
    <t>89</t>
  </si>
  <si>
    <t>Secol</t>
  </si>
  <si>
    <t>AnNastere4Digs</t>
  </si>
  <si>
    <t>RandomDayOfYear</t>
  </si>
  <si>
    <t>YearAndDayJulian</t>
  </si>
  <si>
    <t>GregorianDate</t>
  </si>
  <si>
    <t>CNP-sex</t>
  </si>
  <si>
    <t>randomJudet</t>
  </si>
  <si>
    <t>Rand3Cifre</t>
  </si>
  <si>
    <t>CifControl(TBD!)</t>
  </si>
  <si>
    <t>067</t>
  </si>
  <si>
    <t>099</t>
  </si>
  <si>
    <t>042</t>
  </si>
  <si>
    <t>056</t>
  </si>
  <si>
    <t>070</t>
  </si>
  <si>
    <t>091</t>
  </si>
  <si>
    <t>007</t>
  </si>
  <si>
    <t>071</t>
  </si>
  <si>
    <t>095</t>
  </si>
  <si>
    <t>033</t>
  </si>
  <si>
    <t>068</t>
  </si>
  <si>
    <t>036</t>
  </si>
  <si>
    <t>001</t>
  </si>
  <si>
    <t>049</t>
  </si>
  <si>
    <t>003</t>
  </si>
  <si>
    <t>8/15/1987</t>
  </si>
  <si>
    <t>4/24/1945</t>
  </si>
  <si>
    <t>3/8/1995</t>
  </si>
  <si>
    <t>12/3/1946</t>
  </si>
  <si>
    <t>8/14/2010</t>
  </si>
  <si>
    <t>4/9/2011</t>
  </si>
  <si>
    <t>5/16/2012</t>
  </si>
  <si>
    <t>6/17/1956</t>
  </si>
  <si>
    <t>2/11/1964</t>
  </si>
  <si>
    <t>12/12/2002</t>
  </si>
  <si>
    <t>2/25/1998</t>
  </si>
  <si>
    <t>10/6/2000</t>
  </si>
  <si>
    <t>4/11/1911</t>
  </si>
  <si>
    <t>3/11/2002</t>
  </si>
  <si>
    <t>12/10/2003</t>
  </si>
  <si>
    <t>4/1/2005</t>
  </si>
  <si>
    <t>1/7/2009</t>
  </si>
  <si>
    <t>11/10/2007</t>
  </si>
  <si>
    <t>7/15/2009</t>
  </si>
  <si>
    <t>9/3/2009</t>
  </si>
  <si>
    <t>3/12/2009</t>
  </si>
  <si>
    <t>9/10/1996</t>
  </si>
  <si>
    <t>8/9/2009</t>
  </si>
  <si>
    <t>4/9/1988</t>
  </si>
  <si>
    <t>7/27/1997</t>
  </si>
  <si>
    <t>8/30/2014</t>
  </si>
  <si>
    <t>2/11/1988</t>
  </si>
  <si>
    <t>4/5/2014</t>
  </si>
  <si>
    <t>9/7/1945</t>
  </si>
  <si>
    <t>7/8/2013</t>
  </si>
  <si>
    <t>2/2/2013</t>
  </si>
  <si>
    <t>11/14/1947</t>
  </si>
  <si>
    <t>11/6/1966</t>
  </si>
  <si>
    <t>6/16/1966</t>
  </si>
  <si>
    <t>8/23/1929</t>
  </si>
  <si>
    <t>3/9/1969</t>
  </si>
  <si>
    <t>4/28/1978</t>
  </si>
  <si>
    <t>8/20/2001</t>
  </si>
  <si>
    <t>5/3/2005</t>
  </si>
  <si>
    <t>6/12/2006</t>
  </si>
  <si>
    <t>2/5/1991</t>
  </si>
  <si>
    <t>10/8/2003</t>
  </si>
  <si>
    <t>9/26/1999</t>
  </si>
  <si>
    <t>1/1/2002</t>
  </si>
  <si>
    <t>12/14/1928</t>
  </si>
  <si>
    <t>2/18/2001</t>
  </si>
  <si>
    <t>8/9/2001</t>
  </si>
  <si>
    <t>1/3/1989</t>
  </si>
  <si>
    <t>4/24/1989</t>
  </si>
  <si>
    <t>5/14/2001</t>
  </si>
  <si>
    <t>8/16/2001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</si>
</sst>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"/>
  <sheetViews>
    <sheetView tabSelected="1" workbookViewId="0">
      <selection activeCell="I21" sqref="I21"/>
    </sheetView>
  </sheetViews>
  <sheetFormatPr defaultRowHeight="15"/>
  <cols>
    <col min="2" max="2" width="11.28515625" customWidth="1"/>
    <col min="3" max="3" width="15" customWidth="1"/>
    <col min="4" max="4" width="14.42578125" customWidth="1"/>
    <col min="6" max="6" width="17.85546875" customWidth="1"/>
    <col min="8" max="8" width="21.28515625" customWidth="1"/>
    <col min="9" max="9" width="19.28515625" customWidth="1"/>
    <col min="10" max="10" width="19" customWidth="1"/>
    <col min="11" max="11" width="53.140625" customWidth="1"/>
    <col min="12" max="12" width="22" customWidth="1"/>
    <col min="13" max="13" width="11.140625" customWidth="1"/>
    <col min="14" max="14" width="20.7109375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141</v>
      </c>
      <c r="F1" t="s">
        <v>112</v>
      </c>
      <c r="G1" t="s">
        <v>136</v>
      </c>
      <c r="H1" t="s">
        <v>137</v>
      </c>
      <c r="I1" t="s">
        <v>138</v>
      </c>
      <c r="J1" t="s">
        <v>139</v>
      </c>
      <c r="K1" t="s">
        <v>140</v>
      </c>
      <c r="L1" t="s">
        <v>142</v>
      </c>
      <c r="M1" t="s">
        <v>143</v>
      </c>
      <c r="N1" t="s">
        <v>144</v>
      </c>
    </row>
    <row r="2" spans="1:14">
      <c r="A2" t="s">
        <v>108</v>
      </c>
      <c r="B2" t="s">
        <v>4</v>
      </c>
      <c r="C2" t="s">
        <v>60</v>
      </c>
      <c r="D2" t="s">
        <v>58</v>
      </c>
      <c r="E2">
        <v>1</v>
      </c>
      <c r="F2" s="1">
        <v>87</v>
      </c>
      <c r="G2" t="str">
        <f>IF(OR(E2=1,E2=2), "19", "20")</f>
        <v>19</v>
      </c>
      <c r="H2" t="str">
        <f>G2&amp;F2</f>
        <v>1987</v>
      </c>
      <c r="I2" s="1">
        <v>227</v>
      </c>
      <c r="J2" t="str">
        <f>H2&amp;I2</f>
        <v>1987227</v>
      </c>
      <c r="K2" s="1" t="s">
        <v>160</v>
      </c>
      <c r="L2">
        <v>34</v>
      </c>
      <c r="M2">
        <v>652</v>
      </c>
    </row>
    <row r="3" spans="1:14">
      <c r="A3" t="s">
        <v>108</v>
      </c>
      <c r="B3" t="s">
        <v>5</v>
      </c>
      <c r="C3" t="s">
        <v>61</v>
      </c>
      <c r="D3" t="s">
        <v>56</v>
      </c>
      <c r="E3">
        <v>2</v>
      </c>
      <c r="F3" s="1" t="s">
        <v>120</v>
      </c>
      <c r="G3" t="str">
        <f t="shared" ref="G3:G52" si="0">IF(OR(E3=1,E3=2), "19", "20")</f>
        <v>19</v>
      </c>
      <c r="H3" t="str">
        <f t="shared" ref="H3:H52" si="1">G3&amp;F3</f>
        <v>1945</v>
      </c>
      <c r="I3" s="1">
        <v>114</v>
      </c>
      <c r="J3" t="str">
        <f t="shared" ref="J3:J52" si="2">H3&amp;I3</f>
        <v>1945114</v>
      </c>
      <c r="K3" s="1" t="s">
        <v>161</v>
      </c>
      <c r="L3">
        <v>52</v>
      </c>
      <c r="M3">
        <v>148</v>
      </c>
    </row>
    <row r="4" spans="1:14">
      <c r="A4" t="s">
        <v>108</v>
      </c>
      <c r="B4" t="s">
        <v>6</v>
      </c>
      <c r="C4" t="s">
        <v>62</v>
      </c>
      <c r="D4" t="s">
        <v>58</v>
      </c>
      <c r="E4">
        <v>1</v>
      </c>
      <c r="F4" s="1">
        <v>95</v>
      </c>
      <c r="G4" t="str">
        <f t="shared" si="0"/>
        <v>19</v>
      </c>
      <c r="H4" t="str">
        <f t="shared" si="1"/>
        <v>1995</v>
      </c>
      <c r="I4" s="1" t="s">
        <v>145</v>
      </c>
      <c r="J4" t="str">
        <f t="shared" si="2"/>
        <v>1995067</v>
      </c>
      <c r="K4" s="1" t="s">
        <v>162</v>
      </c>
      <c r="L4">
        <v>26</v>
      </c>
      <c r="M4">
        <v>629</v>
      </c>
    </row>
    <row r="5" spans="1:14">
      <c r="A5" t="s">
        <v>108</v>
      </c>
      <c r="B5" t="s">
        <v>7</v>
      </c>
      <c r="C5" t="s">
        <v>63</v>
      </c>
      <c r="D5" t="s">
        <v>56</v>
      </c>
      <c r="E5">
        <v>2</v>
      </c>
      <c r="F5" s="1" t="s">
        <v>121</v>
      </c>
      <c r="G5" t="str">
        <f t="shared" si="0"/>
        <v>19</v>
      </c>
      <c r="H5" t="str">
        <f t="shared" si="1"/>
        <v>1946</v>
      </c>
      <c r="I5" s="1">
        <v>337</v>
      </c>
      <c r="J5" t="str">
        <f t="shared" si="2"/>
        <v>1946337</v>
      </c>
      <c r="K5" s="1" t="s">
        <v>163</v>
      </c>
      <c r="L5">
        <v>1</v>
      </c>
      <c r="M5">
        <v>870</v>
      </c>
    </row>
    <row r="6" spans="1:14">
      <c r="A6" t="s">
        <v>108</v>
      </c>
      <c r="B6" t="s">
        <v>8</v>
      </c>
      <c r="C6" t="s">
        <v>64</v>
      </c>
      <c r="D6" t="s">
        <v>58</v>
      </c>
      <c r="E6">
        <v>5</v>
      </c>
      <c r="F6" s="1" t="s">
        <v>122</v>
      </c>
      <c r="G6" t="str">
        <f t="shared" si="0"/>
        <v>20</v>
      </c>
      <c r="H6" t="str">
        <f t="shared" si="1"/>
        <v>2010</v>
      </c>
      <c r="I6" s="1">
        <v>226</v>
      </c>
      <c r="J6" t="str">
        <f t="shared" si="2"/>
        <v>2010226</v>
      </c>
      <c r="K6" s="1" t="s">
        <v>164</v>
      </c>
      <c r="L6">
        <v>49</v>
      </c>
      <c r="M6">
        <v>729</v>
      </c>
    </row>
    <row r="7" spans="1:14">
      <c r="A7" t="s">
        <v>108</v>
      </c>
      <c r="B7" t="s">
        <v>9</v>
      </c>
      <c r="C7" t="s">
        <v>65</v>
      </c>
      <c r="D7" t="s">
        <v>56</v>
      </c>
      <c r="E7">
        <v>6</v>
      </c>
      <c r="F7" s="1" t="s">
        <v>123</v>
      </c>
      <c r="G7" t="str">
        <f t="shared" si="0"/>
        <v>20</v>
      </c>
      <c r="H7" t="str">
        <f t="shared" si="1"/>
        <v>2011</v>
      </c>
      <c r="I7" s="1" t="s">
        <v>146</v>
      </c>
      <c r="J7" t="str">
        <f t="shared" si="2"/>
        <v>2011099</v>
      </c>
      <c r="K7" s="1" t="s">
        <v>165</v>
      </c>
      <c r="L7">
        <v>17</v>
      </c>
      <c r="M7">
        <v>889</v>
      </c>
    </row>
    <row r="8" spans="1:14">
      <c r="A8" t="s">
        <v>108</v>
      </c>
      <c r="B8" t="s">
        <v>10</v>
      </c>
      <c r="C8" t="s">
        <v>66</v>
      </c>
      <c r="D8" t="s">
        <v>56</v>
      </c>
      <c r="E8">
        <v>6</v>
      </c>
      <c r="F8" s="1" t="s">
        <v>124</v>
      </c>
      <c r="G8" t="str">
        <f t="shared" si="0"/>
        <v>20</v>
      </c>
      <c r="H8" t="str">
        <f t="shared" si="1"/>
        <v>2012</v>
      </c>
      <c r="I8" s="1">
        <v>137</v>
      </c>
      <c r="J8" t="str">
        <f t="shared" si="2"/>
        <v>2012137</v>
      </c>
      <c r="K8" s="1" t="s">
        <v>166</v>
      </c>
      <c r="L8">
        <v>31</v>
      </c>
      <c r="M8">
        <v>653</v>
      </c>
    </row>
    <row r="9" spans="1:14">
      <c r="A9" t="s">
        <v>108</v>
      </c>
      <c r="B9" t="s">
        <v>11</v>
      </c>
      <c r="C9" t="s">
        <v>67</v>
      </c>
      <c r="D9" t="s">
        <v>58</v>
      </c>
      <c r="E9">
        <v>1</v>
      </c>
      <c r="F9" s="1">
        <v>56</v>
      </c>
      <c r="G9" t="str">
        <f t="shared" si="0"/>
        <v>19</v>
      </c>
      <c r="H9" t="str">
        <f t="shared" si="1"/>
        <v>1956</v>
      </c>
      <c r="I9" s="1">
        <v>169</v>
      </c>
      <c r="J9" t="str">
        <f t="shared" si="2"/>
        <v>1956169</v>
      </c>
      <c r="K9" s="1" t="s">
        <v>167</v>
      </c>
      <c r="L9">
        <v>17</v>
      </c>
      <c r="M9">
        <v>107</v>
      </c>
    </row>
    <row r="10" spans="1:14">
      <c r="A10" t="s">
        <v>108</v>
      </c>
      <c r="B10" t="s">
        <v>12</v>
      </c>
      <c r="C10" t="s">
        <v>68</v>
      </c>
      <c r="D10" t="s">
        <v>56</v>
      </c>
      <c r="E10">
        <v>2</v>
      </c>
      <c r="F10" s="1" t="s">
        <v>125</v>
      </c>
      <c r="G10" t="str">
        <f t="shared" si="0"/>
        <v>19</v>
      </c>
      <c r="H10" t="str">
        <f t="shared" si="1"/>
        <v>1964</v>
      </c>
      <c r="I10" s="1" t="s">
        <v>147</v>
      </c>
      <c r="J10" t="str">
        <f t="shared" si="2"/>
        <v>1964042</v>
      </c>
      <c r="K10" s="1" t="s">
        <v>168</v>
      </c>
      <c r="L10">
        <v>22</v>
      </c>
      <c r="M10">
        <v>89</v>
      </c>
    </row>
    <row r="11" spans="1:14">
      <c r="A11" t="s">
        <v>108</v>
      </c>
      <c r="B11" t="s">
        <v>13</v>
      </c>
      <c r="C11" t="s">
        <v>69</v>
      </c>
      <c r="D11" t="s">
        <v>58</v>
      </c>
      <c r="E11">
        <v>5</v>
      </c>
      <c r="F11" s="1" t="s">
        <v>119</v>
      </c>
      <c r="G11" t="str">
        <f t="shared" si="0"/>
        <v>20</v>
      </c>
      <c r="H11" t="str">
        <f t="shared" si="1"/>
        <v>2002</v>
      </c>
      <c r="I11" s="1">
        <v>346</v>
      </c>
      <c r="J11" t="str">
        <f t="shared" si="2"/>
        <v>2002346</v>
      </c>
      <c r="K11" s="1" t="s">
        <v>169</v>
      </c>
      <c r="L11">
        <v>4</v>
      </c>
      <c r="M11">
        <v>767</v>
      </c>
    </row>
    <row r="12" spans="1:14">
      <c r="A12" t="s">
        <v>108</v>
      </c>
      <c r="B12" t="s">
        <v>14</v>
      </c>
      <c r="C12" t="s">
        <v>70</v>
      </c>
      <c r="D12" t="s">
        <v>56</v>
      </c>
      <c r="E12">
        <v>2</v>
      </c>
      <c r="F12" s="1" t="s">
        <v>126</v>
      </c>
      <c r="G12" t="str">
        <f t="shared" si="0"/>
        <v>19</v>
      </c>
      <c r="H12" t="str">
        <f t="shared" si="1"/>
        <v>1998</v>
      </c>
      <c r="I12" s="1" t="s">
        <v>148</v>
      </c>
      <c r="J12" t="str">
        <f>H12&amp;I12</f>
        <v>1998056</v>
      </c>
      <c r="K12" s="1" t="s">
        <v>170</v>
      </c>
      <c r="L12">
        <v>41</v>
      </c>
      <c r="M12">
        <v>474</v>
      </c>
    </row>
    <row r="13" spans="1:14">
      <c r="A13" t="s">
        <v>108</v>
      </c>
      <c r="B13" t="s">
        <v>15</v>
      </c>
      <c r="C13" t="s">
        <v>71</v>
      </c>
      <c r="D13" t="s">
        <v>58</v>
      </c>
      <c r="E13">
        <v>5</v>
      </c>
      <c r="F13" s="1" t="s">
        <v>127</v>
      </c>
      <c r="G13" t="str">
        <f t="shared" si="0"/>
        <v>20</v>
      </c>
      <c r="H13" t="str">
        <f t="shared" si="1"/>
        <v>2000</v>
      </c>
      <c r="I13" s="1">
        <v>280</v>
      </c>
      <c r="J13" t="str">
        <f t="shared" si="2"/>
        <v>2000280</v>
      </c>
      <c r="K13" s="1" t="s">
        <v>171</v>
      </c>
      <c r="L13">
        <v>2</v>
      </c>
      <c r="M13">
        <v>754</v>
      </c>
    </row>
    <row r="14" spans="1:14">
      <c r="A14" t="s">
        <v>108</v>
      </c>
      <c r="B14" t="s">
        <v>16</v>
      </c>
      <c r="C14" t="s">
        <v>72</v>
      </c>
      <c r="D14" t="s">
        <v>56</v>
      </c>
      <c r="E14">
        <v>2</v>
      </c>
      <c r="F14" s="1" t="s">
        <v>123</v>
      </c>
      <c r="G14" t="str">
        <f t="shared" si="0"/>
        <v>19</v>
      </c>
      <c r="H14" t="str">
        <f t="shared" si="1"/>
        <v>1911</v>
      </c>
      <c r="I14" s="1">
        <v>101</v>
      </c>
      <c r="J14" t="str">
        <f t="shared" si="2"/>
        <v>1911101</v>
      </c>
      <c r="K14" s="1" t="s">
        <v>172</v>
      </c>
      <c r="L14">
        <v>23</v>
      </c>
      <c r="M14">
        <v>324</v>
      </c>
    </row>
    <row r="15" spans="1:14">
      <c r="A15" t="s">
        <v>109</v>
      </c>
      <c r="B15" t="s">
        <v>17</v>
      </c>
      <c r="C15" t="s">
        <v>73</v>
      </c>
      <c r="D15" t="s">
        <v>56</v>
      </c>
      <c r="E15">
        <v>6</v>
      </c>
      <c r="F15" s="1" t="s">
        <v>119</v>
      </c>
      <c r="G15" t="str">
        <f t="shared" si="0"/>
        <v>20</v>
      </c>
      <c r="H15" t="str">
        <f t="shared" si="1"/>
        <v>2002</v>
      </c>
      <c r="I15" s="1" t="s">
        <v>149</v>
      </c>
      <c r="J15" t="str">
        <f t="shared" si="2"/>
        <v>2002070</v>
      </c>
      <c r="K15" s="1" t="s">
        <v>173</v>
      </c>
      <c r="L15">
        <v>37</v>
      </c>
      <c r="M15">
        <v>715</v>
      </c>
    </row>
    <row r="16" spans="1:14">
      <c r="A16" t="s">
        <v>109</v>
      </c>
      <c r="B16" t="s">
        <v>18</v>
      </c>
      <c r="C16" t="s">
        <v>74</v>
      </c>
      <c r="D16" t="s">
        <v>56</v>
      </c>
      <c r="E16">
        <v>6</v>
      </c>
      <c r="F16" s="1" t="s">
        <v>117</v>
      </c>
      <c r="G16" t="str">
        <f t="shared" si="0"/>
        <v>20</v>
      </c>
      <c r="H16" t="str">
        <f t="shared" si="1"/>
        <v>2003</v>
      </c>
      <c r="I16" s="1">
        <v>344</v>
      </c>
      <c r="J16" t="str">
        <f t="shared" si="2"/>
        <v>2003344</v>
      </c>
      <c r="K16" s="1" t="s">
        <v>174</v>
      </c>
      <c r="L16">
        <v>27</v>
      </c>
      <c r="M16">
        <v>598</v>
      </c>
    </row>
    <row r="17" spans="1:13">
      <c r="A17" t="s">
        <v>109</v>
      </c>
      <c r="B17" t="s">
        <v>19</v>
      </c>
      <c r="C17" t="s">
        <v>75</v>
      </c>
      <c r="D17" t="s">
        <v>58</v>
      </c>
      <c r="E17">
        <v>5</v>
      </c>
      <c r="F17" s="1" t="s">
        <v>114</v>
      </c>
      <c r="G17" t="str">
        <f t="shared" si="0"/>
        <v>20</v>
      </c>
      <c r="H17" t="str">
        <f t="shared" si="1"/>
        <v>2005</v>
      </c>
      <c r="I17" s="1" t="s">
        <v>150</v>
      </c>
      <c r="J17" t="str">
        <f t="shared" si="2"/>
        <v>2005091</v>
      </c>
      <c r="K17" s="1" t="s">
        <v>175</v>
      </c>
      <c r="L17">
        <v>7</v>
      </c>
      <c r="M17">
        <v>408</v>
      </c>
    </row>
    <row r="18" spans="1:13">
      <c r="A18" t="s">
        <v>109</v>
      </c>
      <c r="B18" t="s">
        <v>20</v>
      </c>
      <c r="C18" t="s">
        <v>76</v>
      </c>
      <c r="D18" t="s">
        <v>58</v>
      </c>
      <c r="E18">
        <v>5</v>
      </c>
      <c r="F18" s="1" t="s">
        <v>129</v>
      </c>
      <c r="G18" t="str">
        <f t="shared" si="0"/>
        <v>20</v>
      </c>
      <c r="H18" t="str">
        <f t="shared" si="1"/>
        <v>2009</v>
      </c>
      <c r="I18" s="1" t="s">
        <v>151</v>
      </c>
      <c r="J18" t="str">
        <f t="shared" si="2"/>
        <v>2009007</v>
      </c>
      <c r="K18" s="1" t="s">
        <v>176</v>
      </c>
      <c r="L18">
        <v>35</v>
      </c>
      <c r="M18">
        <v>978</v>
      </c>
    </row>
    <row r="19" spans="1:13">
      <c r="A19" t="s">
        <v>109</v>
      </c>
      <c r="B19" t="s">
        <v>21</v>
      </c>
      <c r="C19" t="s">
        <v>77</v>
      </c>
      <c r="D19" t="s">
        <v>56</v>
      </c>
      <c r="E19">
        <v>6</v>
      </c>
      <c r="F19" s="1" t="s">
        <v>130</v>
      </c>
      <c r="G19" t="str">
        <f t="shared" si="0"/>
        <v>20</v>
      </c>
      <c r="H19" t="str">
        <f t="shared" si="1"/>
        <v>2007</v>
      </c>
      <c r="I19" s="1">
        <v>314</v>
      </c>
      <c r="J19" t="str">
        <f t="shared" si="2"/>
        <v>2007314</v>
      </c>
      <c r="K19" s="1" t="s">
        <v>177</v>
      </c>
      <c r="L19">
        <v>13</v>
      </c>
      <c r="M19">
        <v>641</v>
      </c>
    </row>
    <row r="20" spans="1:13">
      <c r="A20" t="s">
        <v>109</v>
      </c>
      <c r="B20" t="s">
        <v>22</v>
      </c>
      <c r="C20" t="s">
        <v>55</v>
      </c>
      <c r="D20" t="s">
        <v>56</v>
      </c>
      <c r="E20">
        <v>6</v>
      </c>
      <c r="F20" s="1" t="s">
        <v>129</v>
      </c>
      <c r="G20" t="str">
        <f t="shared" si="0"/>
        <v>20</v>
      </c>
      <c r="H20" t="str">
        <f t="shared" si="1"/>
        <v>2009</v>
      </c>
      <c r="I20" s="1">
        <v>196</v>
      </c>
      <c r="J20" t="str">
        <f t="shared" si="2"/>
        <v>2009196</v>
      </c>
      <c r="K20" s="1" t="s">
        <v>178</v>
      </c>
      <c r="L20">
        <v>31</v>
      </c>
      <c r="M20">
        <v>266</v>
      </c>
    </row>
    <row r="21" spans="1:13">
      <c r="A21" t="s">
        <v>109</v>
      </c>
      <c r="B21" t="s">
        <v>23</v>
      </c>
      <c r="C21" t="s">
        <v>78</v>
      </c>
      <c r="D21" t="s">
        <v>56</v>
      </c>
      <c r="E21">
        <v>6</v>
      </c>
      <c r="F21" s="1" t="s">
        <v>129</v>
      </c>
      <c r="G21" t="str">
        <f t="shared" si="0"/>
        <v>20</v>
      </c>
      <c r="H21" t="str">
        <f t="shared" si="1"/>
        <v>2009</v>
      </c>
      <c r="I21" s="1">
        <v>246</v>
      </c>
      <c r="J21" t="str">
        <f t="shared" si="2"/>
        <v>2009246</v>
      </c>
      <c r="K21" s="1" t="s">
        <v>179</v>
      </c>
      <c r="L21">
        <v>14</v>
      </c>
      <c r="M21">
        <v>681</v>
      </c>
    </row>
    <row r="22" spans="1:13">
      <c r="A22" t="s">
        <v>109</v>
      </c>
      <c r="B22" t="s">
        <v>24</v>
      </c>
      <c r="C22" t="s">
        <v>79</v>
      </c>
      <c r="D22" t="s">
        <v>58</v>
      </c>
      <c r="E22">
        <v>5</v>
      </c>
      <c r="F22" s="1" t="s">
        <v>129</v>
      </c>
      <c r="G22" t="str">
        <f t="shared" si="0"/>
        <v>20</v>
      </c>
      <c r="H22" t="str">
        <f t="shared" si="1"/>
        <v>2009</v>
      </c>
      <c r="I22" s="1" t="s">
        <v>152</v>
      </c>
      <c r="J22" t="str">
        <f t="shared" si="2"/>
        <v>2009071</v>
      </c>
      <c r="K22" s="1" t="s">
        <v>180</v>
      </c>
      <c r="L22">
        <v>51</v>
      </c>
      <c r="M22">
        <v>904</v>
      </c>
    </row>
    <row r="23" spans="1:13">
      <c r="A23" t="s">
        <v>109</v>
      </c>
      <c r="B23" t="s">
        <v>25</v>
      </c>
      <c r="C23" t="s">
        <v>80</v>
      </c>
      <c r="D23" t="s">
        <v>58</v>
      </c>
      <c r="E23">
        <v>1</v>
      </c>
      <c r="F23" s="1">
        <v>96</v>
      </c>
      <c r="G23" t="str">
        <f t="shared" si="0"/>
        <v>19</v>
      </c>
      <c r="H23" t="str">
        <f t="shared" si="1"/>
        <v>1996</v>
      </c>
      <c r="I23" s="1">
        <v>254</v>
      </c>
      <c r="J23" t="str">
        <f t="shared" si="2"/>
        <v>1996254</v>
      </c>
      <c r="K23" s="1" t="s">
        <v>181</v>
      </c>
      <c r="L23">
        <v>24</v>
      </c>
      <c r="M23">
        <v>328</v>
      </c>
    </row>
    <row r="24" spans="1:13">
      <c r="A24" t="s">
        <v>109</v>
      </c>
      <c r="B24" t="s">
        <v>26</v>
      </c>
      <c r="C24" t="s">
        <v>81</v>
      </c>
      <c r="D24" t="s">
        <v>58</v>
      </c>
      <c r="E24">
        <v>5</v>
      </c>
      <c r="F24" s="1" t="s">
        <v>129</v>
      </c>
      <c r="G24" t="str">
        <f t="shared" si="0"/>
        <v>20</v>
      </c>
      <c r="H24" t="str">
        <f t="shared" si="1"/>
        <v>2009</v>
      </c>
      <c r="I24" s="1">
        <v>221</v>
      </c>
      <c r="J24" t="str">
        <f t="shared" si="2"/>
        <v>2009221</v>
      </c>
      <c r="K24" s="1" t="s">
        <v>182</v>
      </c>
      <c r="L24">
        <v>49</v>
      </c>
      <c r="M24">
        <v>349</v>
      </c>
    </row>
    <row r="25" spans="1:13">
      <c r="A25" t="s">
        <v>109</v>
      </c>
      <c r="B25" t="s">
        <v>27</v>
      </c>
      <c r="C25" t="s">
        <v>82</v>
      </c>
      <c r="D25" t="s">
        <v>56</v>
      </c>
      <c r="E25">
        <v>2</v>
      </c>
      <c r="F25" s="1" t="s">
        <v>131</v>
      </c>
      <c r="G25" t="str">
        <f t="shared" si="0"/>
        <v>19</v>
      </c>
      <c r="H25" t="str">
        <f t="shared" si="1"/>
        <v>1988</v>
      </c>
      <c r="I25" s="1">
        <v>100</v>
      </c>
      <c r="J25" t="str">
        <f t="shared" si="2"/>
        <v>1988100</v>
      </c>
      <c r="K25" s="1" t="s">
        <v>183</v>
      </c>
      <c r="L25">
        <v>10</v>
      </c>
      <c r="M25">
        <v>787</v>
      </c>
    </row>
    <row r="26" spans="1:13">
      <c r="A26" t="s">
        <v>110</v>
      </c>
      <c r="B26" t="s">
        <v>28</v>
      </c>
      <c r="C26" t="s">
        <v>83</v>
      </c>
      <c r="D26" t="s">
        <v>58</v>
      </c>
      <c r="E26">
        <v>1</v>
      </c>
      <c r="F26" s="1">
        <v>97</v>
      </c>
      <c r="G26" t="str">
        <f t="shared" si="0"/>
        <v>19</v>
      </c>
      <c r="H26" t="str">
        <f t="shared" si="1"/>
        <v>1997</v>
      </c>
      <c r="I26" s="1">
        <v>208</v>
      </c>
      <c r="J26" t="str">
        <f t="shared" si="2"/>
        <v>1997208</v>
      </c>
      <c r="K26" s="1" t="s">
        <v>184</v>
      </c>
      <c r="L26">
        <v>27</v>
      </c>
      <c r="M26">
        <v>705</v>
      </c>
    </row>
    <row r="27" spans="1:13">
      <c r="A27" t="s">
        <v>110</v>
      </c>
      <c r="B27" t="s">
        <v>29</v>
      </c>
      <c r="C27" t="s">
        <v>84</v>
      </c>
      <c r="D27" t="s">
        <v>58</v>
      </c>
      <c r="E27">
        <v>5</v>
      </c>
      <c r="F27" s="1" t="s">
        <v>132</v>
      </c>
      <c r="G27" t="str">
        <f t="shared" si="0"/>
        <v>20</v>
      </c>
      <c r="H27" t="str">
        <f t="shared" si="1"/>
        <v>2014</v>
      </c>
      <c r="I27" s="1">
        <v>242</v>
      </c>
      <c r="J27" t="str">
        <f t="shared" si="2"/>
        <v>2014242</v>
      </c>
      <c r="K27" s="1" t="s">
        <v>185</v>
      </c>
      <c r="L27">
        <v>1</v>
      </c>
      <c r="M27">
        <v>262</v>
      </c>
    </row>
    <row r="28" spans="1:13">
      <c r="A28" t="s">
        <v>110</v>
      </c>
      <c r="B28" t="s">
        <v>30</v>
      </c>
      <c r="C28" t="s">
        <v>85</v>
      </c>
      <c r="D28" t="s">
        <v>58</v>
      </c>
      <c r="E28">
        <v>1</v>
      </c>
      <c r="F28" s="1">
        <v>88</v>
      </c>
      <c r="G28" t="str">
        <f t="shared" si="0"/>
        <v>19</v>
      </c>
      <c r="H28" t="str">
        <f t="shared" si="1"/>
        <v>1988</v>
      </c>
      <c r="I28" s="1" t="s">
        <v>147</v>
      </c>
      <c r="J28" t="str">
        <f t="shared" si="2"/>
        <v>1988042</v>
      </c>
      <c r="K28" s="1" t="s">
        <v>186</v>
      </c>
      <c r="L28">
        <v>29</v>
      </c>
      <c r="M28">
        <v>153</v>
      </c>
    </row>
    <row r="29" spans="1:13">
      <c r="A29" t="s">
        <v>110</v>
      </c>
      <c r="B29" t="s">
        <v>31</v>
      </c>
      <c r="C29" t="s">
        <v>86</v>
      </c>
      <c r="D29" t="s">
        <v>58</v>
      </c>
      <c r="E29">
        <v>5</v>
      </c>
      <c r="F29" s="1" t="s">
        <v>132</v>
      </c>
      <c r="G29" t="str">
        <f t="shared" si="0"/>
        <v>20</v>
      </c>
      <c r="H29" t="str">
        <f t="shared" si="1"/>
        <v>2014</v>
      </c>
      <c r="I29" s="1" t="s">
        <v>153</v>
      </c>
      <c r="J29" t="str">
        <f t="shared" si="2"/>
        <v>2014095</v>
      </c>
      <c r="K29" s="1" t="s">
        <v>187</v>
      </c>
      <c r="L29">
        <v>43</v>
      </c>
      <c r="M29">
        <v>128</v>
      </c>
    </row>
    <row r="30" spans="1:13">
      <c r="A30" t="s">
        <v>110</v>
      </c>
      <c r="B30" t="s">
        <v>32</v>
      </c>
      <c r="C30" t="s">
        <v>87</v>
      </c>
      <c r="D30" t="s">
        <v>58</v>
      </c>
      <c r="E30">
        <v>1</v>
      </c>
      <c r="F30" s="1">
        <v>45</v>
      </c>
      <c r="G30" t="str">
        <f t="shared" si="0"/>
        <v>19</v>
      </c>
      <c r="H30" t="str">
        <f t="shared" si="1"/>
        <v>1945</v>
      </c>
      <c r="I30" s="1">
        <v>250</v>
      </c>
      <c r="J30" t="str">
        <f t="shared" si="2"/>
        <v>1945250</v>
      </c>
      <c r="K30" s="1" t="s">
        <v>188</v>
      </c>
      <c r="L30">
        <v>36</v>
      </c>
      <c r="M30">
        <v>832</v>
      </c>
    </row>
    <row r="31" spans="1:13">
      <c r="A31" t="s">
        <v>110</v>
      </c>
      <c r="B31" t="s">
        <v>33</v>
      </c>
      <c r="C31" t="s">
        <v>88</v>
      </c>
      <c r="D31" t="s">
        <v>56</v>
      </c>
      <c r="E31">
        <v>6</v>
      </c>
      <c r="F31" s="1" t="s">
        <v>133</v>
      </c>
      <c r="G31" t="str">
        <f t="shared" si="0"/>
        <v>20</v>
      </c>
      <c r="H31" t="str">
        <f t="shared" si="1"/>
        <v>2013</v>
      </c>
      <c r="I31" s="1">
        <v>189</v>
      </c>
      <c r="J31" t="str">
        <f t="shared" si="2"/>
        <v>2013189</v>
      </c>
      <c r="K31" s="1" t="s">
        <v>189</v>
      </c>
      <c r="L31">
        <v>46</v>
      </c>
      <c r="M31">
        <v>162</v>
      </c>
    </row>
    <row r="32" spans="1:13">
      <c r="A32" t="s">
        <v>110</v>
      </c>
      <c r="B32" t="s">
        <v>34</v>
      </c>
      <c r="C32" t="s">
        <v>89</v>
      </c>
      <c r="D32" t="s">
        <v>56</v>
      </c>
      <c r="E32">
        <v>6</v>
      </c>
      <c r="F32" s="1" t="s">
        <v>133</v>
      </c>
      <c r="G32" t="str">
        <f t="shared" si="0"/>
        <v>20</v>
      </c>
      <c r="H32" t="str">
        <f t="shared" si="1"/>
        <v>2013</v>
      </c>
      <c r="I32" s="1" t="s">
        <v>154</v>
      </c>
      <c r="J32" t="str">
        <f t="shared" si="2"/>
        <v>2013033</v>
      </c>
      <c r="K32" s="1" t="s">
        <v>190</v>
      </c>
      <c r="L32">
        <v>41</v>
      </c>
      <c r="M32">
        <v>566</v>
      </c>
    </row>
    <row r="33" spans="1:13">
      <c r="A33" t="s">
        <v>110</v>
      </c>
      <c r="B33" t="s">
        <v>35</v>
      </c>
      <c r="C33" t="s">
        <v>90</v>
      </c>
      <c r="D33" t="s">
        <v>58</v>
      </c>
      <c r="E33">
        <v>1</v>
      </c>
      <c r="F33" s="1">
        <v>47</v>
      </c>
      <c r="G33" t="str">
        <f t="shared" si="0"/>
        <v>19</v>
      </c>
      <c r="H33" t="str">
        <f t="shared" si="1"/>
        <v>1947</v>
      </c>
      <c r="I33" s="1">
        <v>318</v>
      </c>
      <c r="J33" t="str">
        <f t="shared" si="2"/>
        <v>1947318</v>
      </c>
      <c r="K33" s="1" t="s">
        <v>191</v>
      </c>
      <c r="L33">
        <v>11</v>
      </c>
      <c r="M33">
        <v>168</v>
      </c>
    </row>
    <row r="34" spans="1:13">
      <c r="A34" t="s">
        <v>110</v>
      </c>
      <c r="B34" t="s">
        <v>36</v>
      </c>
      <c r="C34" t="s">
        <v>91</v>
      </c>
      <c r="D34" t="s">
        <v>56</v>
      </c>
      <c r="E34">
        <v>2</v>
      </c>
      <c r="F34" s="1" t="s">
        <v>128</v>
      </c>
      <c r="G34" t="str">
        <f t="shared" si="0"/>
        <v>19</v>
      </c>
      <c r="H34" t="str">
        <f t="shared" si="1"/>
        <v>1966</v>
      </c>
      <c r="I34" s="1">
        <v>310</v>
      </c>
      <c r="J34" t="str">
        <f t="shared" si="2"/>
        <v>1966310</v>
      </c>
      <c r="K34" s="1" t="s">
        <v>192</v>
      </c>
      <c r="L34">
        <v>9</v>
      </c>
      <c r="M34">
        <v>45</v>
      </c>
    </row>
    <row r="35" spans="1:13">
      <c r="A35" t="s">
        <v>110</v>
      </c>
      <c r="B35" t="s">
        <v>37</v>
      </c>
      <c r="C35" t="s">
        <v>92</v>
      </c>
      <c r="D35" t="s">
        <v>56</v>
      </c>
      <c r="E35">
        <v>2</v>
      </c>
      <c r="F35" s="1" t="s">
        <v>128</v>
      </c>
      <c r="G35" t="str">
        <f t="shared" si="0"/>
        <v>19</v>
      </c>
      <c r="H35" t="str">
        <f t="shared" si="1"/>
        <v>1966</v>
      </c>
      <c r="I35" s="1">
        <v>167</v>
      </c>
      <c r="J35" t="str">
        <f t="shared" si="2"/>
        <v>1966167</v>
      </c>
      <c r="K35" s="1" t="s">
        <v>193</v>
      </c>
      <c r="L35">
        <v>49</v>
      </c>
      <c r="M35">
        <v>636</v>
      </c>
    </row>
    <row r="36" spans="1:13">
      <c r="A36" t="s">
        <v>111</v>
      </c>
      <c r="B36" t="s">
        <v>38</v>
      </c>
      <c r="C36" t="s">
        <v>93</v>
      </c>
      <c r="D36" t="s">
        <v>58</v>
      </c>
      <c r="E36">
        <v>1</v>
      </c>
      <c r="F36" s="1">
        <v>29</v>
      </c>
      <c r="G36" t="str">
        <f t="shared" si="0"/>
        <v>19</v>
      </c>
      <c r="H36" t="str">
        <f t="shared" si="1"/>
        <v>1929</v>
      </c>
      <c r="I36" s="1">
        <v>235</v>
      </c>
      <c r="J36" t="str">
        <f t="shared" si="2"/>
        <v>1929235</v>
      </c>
      <c r="K36" s="1" t="s">
        <v>194</v>
      </c>
      <c r="L36">
        <v>9</v>
      </c>
      <c r="M36">
        <v>915</v>
      </c>
    </row>
    <row r="37" spans="1:13">
      <c r="A37" t="s">
        <v>111</v>
      </c>
      <c r="B37" t="s">
        <v>39</v>
      </c>
      <c r="C37" t="s">
        <v>57</v>
      </c>
      <c r="D37" t="s">
        <v>56</v>
      </c>
      <c r="E37">
        <v>2</v>
      </c>
      <c r="F37" s="1">
        <v>69</v>
      </c>
      <c r="G37" t="str">
        <f t="shared" si="0"/>
        <v>19</v>
      </c>
      <c r="H37" t="str">
        <f t="shared" si="1"/>
        <v>1969</v>
      </c>
      <c r="I37" s="1" t="s">
        <v>155</v>
      </c>
      <c r="J37" t="str">
        <f t="shared" si="2"/>
        <v>1969068</v>
      </c>
      <c r="K37" s="1" t="s">
        <v>195</v>
      </c>
      <c r="L37">
        <v>38</v>
      </c>
      <c r="M37">
        <v>311</v>
      </c>
    </row>
    <row r="38" spans="1:13">
      <c r="A38" t="s">
        <v>111</v>
      </c>
      <c r="B38" t="s">
        <v>40</v>
      </c>
      <c r="C38" t="s">
        <v>94</v>
      </c>
      <c r="D38" t="s">
        <v>56</v>
      </c>
      <c r="E38">
        <v>2</v>
      </c>
      <c r="F38" s="1">
        <v>78</v>
      </c>
      <c r="G38" t="str">
        <f t="shared" si="0"/>
        <v>19</v>
      </c>
      <c r="H38" t="str">
        <f t="shared" si="1"/>
        <v>1978</v>
      </c>
      <c r="I38" s="1">
        <v>118</v>
      </c>
      <c r="J38" t="str">
        <f t="shared" si="2"/>
        <v>1978118</v>
      </c>
      <c r="K38" s="1" t="s">
        <v>196</v>
      </c>
      <c r="L38">
        <v>41</v>
      </c>
      <c r="M38">
        <v>791</v>
      </c>
    </row>
    <row r="39" spans="1:13">
      <c r="A39" t="s">
        <v>111</v>
      </c>
      <c r="B39" t="s">
        <v>41</v>
      </c>
      <c r="C39" t="s">
        <v>95</v>
      </c>
      <c r="D39" t="s">
        <v>58</v>
      </c>
      <c r="E39">
        <v>5</v>
      </c>
      <c r="F39" s="1" t="s">
        <v>113</v>
      </c>
      <c r="G39" t="str">
        <f t="shared" si="0"/>
        <v>20</v>
      </c>
      <c r="H39" t="str">
        <f t="shared" si="1"/>
        <v>2001</v>
      </c>
      <c r="I39" s="1">
        <v>232</v>
      </c>
      <c r="J39" t="str">
        <f t="shared" si="2"/>
        <v>2001232</v>
      </c>
      <c r="K39" s="1" t="s">
        <v>197</v>
      </c>
      <c r="L39">
        <v>36</v>
      </c>
      <c r="M39">
        <v>992</v>
      </c>
    </row>
    <row r="40" spans="1:13">
      <c r="A40" t="s">
        <v>111</v>
      </c>
      <c r="B40" t="s">
        <v>42</v>
      </c>
      <c r="C40" t="s">
        <v>96</v>
      </c>
      <c r="D40" t="s">
        <v>58</v>
      </c>
      <c r="E40">
        <v>5</v>
      </c>
      <c r="F40" s="1" t="s">
        <v>114</v>
      </c>
      <c r="G40" t="str">
        <f t="shared" si="0"/>
        <v>20</v>
      </c>
      <c r="H40" t="str">
        <f t="shared" si="1"/>
        <v>2005</v>
      </c>
      <c r="I40" s="1">
        <v>123</v>
      </c>
      <c r="J40" t="str">
        <f t="shared" si="2"/>
        <v>2005123</v>
      </c>
      <c r="K40" s="1" t="s">
        <v>198</v>
      </c>
      <c r="L40">
        <v>31</v>
      </c>
      <c r="M40">
        <v>486</v>
      </c>
    </row>
    <row r="41" spans="1:13">
      <c r="A41" t="s">
        <v>111</v>
      </c>
      <c r="B41" t="s">
        <v>43</v>
      </c>
      <c r="C41" t="s">
        <v>97</v>
      </c>
      <c r="D41" t="s">
        <v>56</v>
      </c>
      <c r="E41">
        <v>6</v>
      </c>
      <c r="F41" s="1" t="s">
        <v>115</v>
      </c>
      <c r="G41" t="str">
        <f t="shared" si="0"/>
        <v>20</v>
      </c>
      <c r="H41" t="str">
        <f t="shared" si="1"/>
        <v>2006</v>
      </c>
      <c r="I41" s="1">
        <v>163</v>
      </c>
      <c r="J41" t="str">
        <f t="shared" si="2"/>
        <v>2006163</v>
      </c>
      <c r="K41" s="1" t="s">
        <v>199</v>
      </c>
      <c r="L41">
        <v>52</v>
      </c>
      <c r="M41">
        <v>315</v>
      </c>
    </row>
    <row r="42" spans="1:13">
      <c r="A42" t="s">
        <v>111</v>
      </c>
      <c r="B42" t="s">
        <v>44</v>
      </c>
      <c r="C42" t="s">
        <v>59</v>
      </c>
      <c r="D42" t="s">
        <v>58</v>
      </c>
      <c r="E42">
        <v>1</v>
      </c>
      <c r="F42" s="1" t="s">
        <v>116</v>
      </c>
      <c r="G42" t="str">
        <f t="shared" si="0"/>
        <v>19</v>
      </c>
      <c r="H42" t="str">
        <f t="shared" si="1"/>
        <v>1991</v>
      </c>
      <c r="I42" s="1" t="s">
        <v>156</v>
      </c>
      <c r="J42" t="str">
        <f t="shared" si="2"/>
        <v>1991036</v>
      </c>
      <c r="K42" s="1" t="s">
        <v>200</v>
      </c>
      <c r="L42">
        <v>44</v>
      </c>
      <c r="M42">
        <v>508</v>
      </c>
    </row>
    <row r="43" spans="1:13">
      <c r="A43" t="s">
        <v>111</v>
      </c>
      <c r="B43" t="s">
        <v>45</v>
      </c>
      <c r="C43" t="s">
        <v>98</v>
      </c>
      <c r="D43" t="s">
        <v>58</v>
      </c>
      <c r="E43">
        <v>5</v>
      </c>
      <c r="F43" s="1" t="s">
        <v>117</v>
      </c>
      <c r="G43" t="str">
        <f t="shared" si="0"/>
        <v>20</v>
      </c>
      <c r="H43" t="str">
        <f t="shared" si="1"/>
        <v>2003</v>
      </c>
      <c r="I43" s="1">
        <v>281</v>
      </c>
      <c r="J43" t="str">
        <f t="shared" si="2"/>
        <v>2003281</v>
      </c>
      <c r="K43" s="1" t="s">
        <v>201</v>
      </c>
      <c r="L43">
        <v>3</v>
      </c>
      <c r="M43">
        <v>466</v>
      </c>
    </row>
    <row r="44" spans="1:13">
      <c r="A44" t="s">
        <v>111</v>
      </c>
      <c r="B44" t="s">
        <v>46</v>
      </c>
      <c r="C44" t="s">
        <v>99</v>
      </c>
      <c r="D44" t="s">
        <v>58</v>
      </c>
      <c r="E44">
        <v>1</v>
      </c>
      <c r="F44" s="1" t="s">
        <v>118</v>
      </c>
      <c r="G44" t="str">
        <f t="shared" si="0"/>
        <v>19</v>
      </c>
      <c r="H44" t="str">
        <f t="shared" si="1"/>
        <v>1999</v>
      </c>
      <c r="I44" s="1">
        <v>269</v>
      </c>
      <c r="J44" t="str">
        <f t="shared" si="2"/>
        <v>1999269</v>
      </c>
      <c r="K44" s="1" t="s">
        <v>202</v>
      </c>
      <c r="L44">
        <v>10</v>
      </c>
      <c r="M44">
        <v>403</v>
      </c>
    </row>
    <row r="45" spans="1:13">
      <c r="A45" t="s">
        <v>111</v>
      </c>
      <c r="B45" t="s">
        <v>47</v>
      </c>
      <c r="C45" t="s">
        <v>101</v>
      </c>
      <c r="D45" t="s">
        <v>56</v>
      </c>
      <c r="E45">
        <v>6</v>
      </c>
      <c r="F45" s="1" t="s">
        <v>119</v>
      </c>
      <c r="G45" t="str">
        <f t="shared" si="0"/>
        <v>20</v>
      </c>
      <c r="H45" t="str">
        <f t="shared" si="1"/>
        <v>2002</v>
      </c>
      <c r="I45" s="1" t="s">
        <v>157</v>
      </c>
      <c r="J45" t="str">
        <f t="shared" si="2"/>
        <v>2002001</v>
      </c>
      <c r="K45" s="1" t="s">
        <v>203</v>
      </c>
      <c r="L45">
        <v>36</v>
      </c>
      <c r="M45">
        <v>506</v>
      </c>
    </row>
    <row r="46" spans="1:13">
      <c r="A46" t="s">
        <v>111</v>
      </c>
      <c r="B46" t="s">
        <v>48</v>
      </c>
      <c r="C46" t="s">
        <v>100</v>
      </c>
      <c r="D46" t="s">
        <v>58</v>
      </c>
      <c r="E46">
        <v>1</v>
      </c>
      <c r="F46" s="1" t="s">
        <v>134</v>
      </c>
      <c r="G46" t="str">
        <f t="shared" si="0"/>
        <v>19</v>
      </c>
      <c r="H46" t="str">
        <f t="shared" si="1"/>
        <v>1928</v>
      </c>
      <c r="I46" s="1">
        <v>349</v>
      </c>
      <c r="J46" t="str">
        <f t="shared" si="2"/>
        <v>1928349</v>
      </c>
      <c r="K46" s="1" t="s">
        <v>204</v>
      </c>
      <c r="L46">
        <v>32</v>
      </c>
      <c r="M46">
        <v>334</v>
      </c>
    </row>
    <row r="47" spans="1:13">
      <c r="A47" t="s">
        <v>111</v>
      </c>
      <c r="B47" t="s">
        <v>49</v>
      </c>
      <c r="C47" t="s">
        <v>102</v>
      </c>
      <c r="D47" t="s">
        <v>56</v>
      </c>
      <c r="E47">
        <v>6</v>
      </c>
      <c r="F47" s="1" t="s">
        <v>113</v>
      </c>
      <c r="G47" t="str">
        <f t="shared" si="0"/>
        <v>20</v>
      </c>
      <c r="H47" t="str">
        <f t="shared" si="1"/>
        <v>2001</v>
      </c>
      <c r="I47" s="1" t="s">
        <v>158</v>
      </c>
      <c r="J47" t="str">
        <f t="shared" si="2"/>
        <v>2001049</v>
      </c>
      <c r="K47" s="1" t="s">
        <v>205</v>
      </c>
      <c r="L47">
        <v>40</v>
      </c>
      <c r="M47">
        <v>32</v>
      </c>
    </row>
    <row r="48" spans="1:13">
      <c r="A48" t="s">
        <v>111</v>
      </c>
      <c r="B48" t="s">
        <v>50</v>
      </c>
      <c r="C48" t="s">
        <v>103</v>
      </c>
      <c r="D48" t="s">
        <v>58</v>
      </c>
      <c r="E48">
        <v>5</v>
      </c>
      <c r="F48" s="1" t="s">
        <v>113</v>
      </c>
      <c r="G48" t="str">
        <f t="shared" si="0"/>
        <v>20</v>
      </c>
      <c r="H48" t="str">
        <f t="shared" si="1"/>
        <v>2001</v>
      </c>
      <c r="I48" s="1">
        <v>221</v>
      </c>
      <c r="J48" t="str">
        <f t="shared" si="2"/>
        <v>2001221</v>
      </c>
      <c r="K48" s="1" t="s">
        <v>206</v>
      </c>
      <c r="L48">
        <v>2</v>
      </c>
      <c r="M48">
        <v>765</v>
      </c>
    </row>
    <row r="49" spans="1:13">
      <c r="A49" t="s">
        <v>111</v>
      </c>
      <c r="B49" t="s">
        <v>51</v>
      </c>
      <c r="C49" t="s">
        <v>104</v>
      </c>
      <c r="D49" t="s">
        <v>58</v>
      </c>
      <c r="E49">
        <v>1</v>
      </c>
      <c r="F49" s="1" t="s">
        <v>135</v>
      </c>
      <c r="G49" t="str">
        <f t="shared" si="0"/>
        <v>19</v>
      </c>
      <c r="H49" t="str">
        <f t="shared" si="1"/>
        <v>1989</v>
      </c>
      <c r="I49" s="1" t="s">
        <v>159</v>
      </c>
      <c r="J49" t="str">
        <f t="shared" si="2"/>
        <v>1989003</v>
      </c>
      <c r="K49" s="1" t="s">
        <v>207</v>
      </c>
      <c r="L49">
        <v>52</v>
      </c>
      <c r="M49">
        <v>187</v>
      </c>
    </row>
    <row r="50" spans="1:13">
      <c r="A50" t="s">
        <v>111</v>
      </c>
      <c r="B50" t="s">
        <v>52</v>
      </c>
      <c r="C50" t="s">
        <v>105</v>
      </c>
      <c r="D50" t="s">
        <v>58</v>
      </c>
      <c r="E50">
        <v>1</v>
      </c>
      <c r="F50" s="1" t="s">
        <v>135</v>
      </c>
      <c r="G50" t="str">
        <f t="shared" si="0"/>
        <v>19</v>
      </c>
      <c r="H50" t="str">
        <f t="shared" si="1"/>
        <v>1989</v>
      </c>
      <c r="I50" s="1">
        <v>114</v>
      </c>
      <c r="J50" t="str">
        <f t="shared" si="2"/>
        <v>1989114</v>
      </c>
      <c r="K50" s="1" t="s">
        <v>208</v>
      </c>
      <c r="L50">
        <v>14</v>
      </c>
      <c r="M50">
        <v>641</v>
      </c>
    </row>
    <row r="51" spans="1:13">
      <c r="A51" t="s">
        <v>111</v>
      </c>
      <c r="B51" t="s">
        <v>53</v>
      </c>
      <c r="C51" t="s">
        <v>106</v>
      </c>
      <c r="D51" t="s">
        <v>56</v>
      </c>
      <c r="E51">
        <v>6</v>
      </c>
      <c r="F51" s="1" t="s">
        <v>113</v>
      </c>
      <c r="G51" t="str">
        <f t="shared" si="0"/>
        <v>20</v>
      </c>
      <c r="H51" t="str">
        <f t="shared" si="1"/>
        <v>2001</v>
      </c>
      <c r="I51" s="1">
        <v>134</v>
      </c>
      <c r="J51" t="str">
        <f t="shared" si="2"/>
        <v>2001134</v>
      </c>
      <c r="K51" s="1" t="s">
        <v>209</v>
      </c>
      <c r="L51">
        <v>15</v>
      </c>
      <c r="M51">
        <v>533</v>
      </c>
    </row>
    <row r="52" spans="1:13">
      <c r="A52" t="s">
        <v>111</v>
      </c>
      <c r="B52" t="s">
        <v>54</v>
      </c>
      <c r="C52" t="s">
        <v>107</v>
      </c>
      <c r="D52" t="s">
        <v>58</v>
      </c>
      <c r="E52">
        <v>5</v>
      </c>
      <c r="F52" s="1" t="s">
        <v>113</v>
      </c>
      <c r="G52" t="str">
        <f t="shared" si="0"/>
        <v>20</v>
      </c>
      <c r="H52" t="str">
        <f t="shared" si="1"/>
        <v>2001</v>
      </c>
      <c r="I52" s="1">
        <v>228</v>
      </c>
      <c r="J52" t="str">
        <f t="shared" si="2"/>
        <v>2001228</v>
      </c>
      <c r="K52" s="1" t="s">
        <v>210</v>
      </c>
      <c r="L52">
        <v>23</v>
      </c>
      <c r="M52">
        <v>563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StudentsSQL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danr</dc:creator>
  <cp:lastModifiedBy>danr</cp:lastModifiedBy>
  <dcterms:created xsi:type="dcterms:W3CDTF">2016-03-22T15:44:28Z</dcterms:created>
  <dcterms:modified xsi:type="dcterms:W3CDTF">2016-03-22T19:23:36Z</dcterms:modified>
</cp:coreProperties>
</file>